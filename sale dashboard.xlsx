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70" windowHeight="6800" firstSheet="1"/>
  </bookViews>
  <sheets>
    <sheet name="Sheet8" sheetId="33" r:id="rId1"/>
    <sheet name="Sheet1" sheetId="1" r:id="rId2"/>
    <sheet name=" dashboard" sheetId="32" r:id="rId3"/>
  </sheets>
  <definedNames>
    <definedName name="Slicer_Valu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<sst xmlns="http://schemas.openxmlformats.org/spreadsheetml/2006/main" count="91" uniqueCount="42">
  <si>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Month</t>
  </si>
  <si>
    <t xml:space="preserve">Sum of Sales </t>
  </si>
  <si>
    <t>Sum of Growth %</t>
  </si>
  <si>
    <t xml:space="preserve">Average of Sales </t>
  </si>
  <si>
    <t xml:space="preserve">Max of Sales </t>
  </si>
  <si>
    <t xml:space="preserve">Sum of Profit </t>
  </si>
  <si>
    <t>Jan</t>
  </si>
  <si>
    <t>Apr</t>
  </si>
  <si>
    <t>May</t>
  </si>
  <si>
    <t>Grand Total</t>
  </si>
  <si>
    <t xml:space="preserve">Min of Sales </t>
  </si>
  <si>
    <t xml:space="preserve">Product of Sales </t>
  </si>
  <si>
    <t>Sum of Profit %</t>
  </si>
  <si>
    <t xml:space="preserve">Sum of Expenses </t>
  </si>
  <si>
    <t>Sum of Value</t>
  </si>
  <si>
    <t xml:space="preserve">Financial Advisory Dashboard Table </t>
  </si>
  <si>
    <t>Count</t>
  </si>
  <si>
    <t xml:space="preserve">Sales </t>
  </si>
  <si>
    <t xml:space="preserve">Revenue </t>
  </si>
  <si>
    <t xml:space="preserve">Expenses </t>
  </si>
  <si>
    <t xml:space="preserve">Profit </t>
  </si>
  <si>
    <t xml:space="preserve">Loss </t>
  </si>
  <si>
    <t>Profit %</t>
  </si>
  <si>
    <t>Growth %</t>
  </si>
  <si>
    <t>Notes</t>
  </si>
  <si>
    <t>Metric</t>
  </si>
  <si>
    <t>Value</t>
  </si>
  <si>
    <t>Good month</t>
  </si>
  <si>
    <t>Total Sales</t>
  </si>
  <si>
    <t>Feb</t>
  </si>
  <si>
    <t>Less sales</t>
  </si>
  <si>
    <t>Total Revenue</t>
  </si>
  <si>
    <t>Mar</t>
  </si>
  <si>
    <t>Excellent</t>
  </si>
  <si>
    <t>Total Expenses</t>
  </si>
  <si>
    <t>Low profit</t>
  </si>
  <si>
    <t>Total Profit</t>
  </si>
  <si>
    <t>Loss month</t>
  </si>
  <si>
    <t>Total Loss</t>
  </si>
  <si>
    <t>Jun</t>
  </si>
  <si>
    <t>Best month</t>
  </si>
  <si>
    <t>Avg Profit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</si>
</sst>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 tint="0.05"/>
      <name val="Calibri"/>
      <charset val="134"/>
      <scheme val="minor"/>
    </font>
    <font>
      <i/>
      <sz val="11"/>
      <color theme="1"/>
      <name val="Times New Roman"/>
      <charset val="134"/>
    </font>
    <font>
      <b/>
      <i/>
      <sz val="12"/>
      <color theme="1"/>
      <name val="Times New Roman"/>
      <charset val="134"/>
    </font>
    <font>
      <b/>
      <i/>
      <sz val="18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0" applyFont="1" applyAlignment="1"/>
    <xf numFmtId="10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 dashboard.xlsx]Sheet8!PivotTable8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39205504348955"/>
          <c:y val="0.0641025641025641"/>
          <c:w val="0.841100869790991"/>
          <c:h val="0.84447391688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Sheet8!$A$5:$A$8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Sheet8!$B$5:$B$8</c:f>
              <c:numCache>
                <c:formatCode>General</c:formatCode>
                <c:ptCount val="3"/>
                <c:pt idx="0">
                  <c:v>150000</c:v>
                </c:pt>
                <c:pt idx="1">
                  <c:v>120000</c:v>
                </c:pt>
                <c:pt idx="2">
                  <c:v>110000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51060274"/>
        <c:axId val="906134762"/>
      </c:barChart>
      <c:catAx>
        <c:axId val="1510602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134762"/>
        <c:crosses val="autoZero"/>
        <c:auto val="1"/>
        <c:lblAlgn val="ctr"/>
        <c:lblOffset val="100"/>
        <c:noMultiLvlLbl val="0"/>
      </c:catAx>
      <c:valAx>
        <c:axId val="9061347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0602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3d9a68-5ba4-4985-a4c4-8c7f8151657c}"/>
      </c:ext>
    </c:extLst>
  </c:chart>
  <c:spPr>
    <a:noFill/>
    <a:ln w="3175" cap="sq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 dashboard.xlsx]Sheet8!PivotTable10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533314588945294"/>
          <c:y val="0.0243680255067183"/>
          <c:w val="0.942723249153866"/>
          <c:h val="0.90271943400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Sheet8!$E$4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Sheet8!$D$5:$D$8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Sheet8!$E$5:$E$8</c:f>
              <c:numCache>
                <c:formatCode>General</c:formatCode>
                <c:ptCount val="3"/>
                <c:pt idx="0">
                  <c:v>0.1</c:v>
                </c:pt>
                <c:pt idx="1">
                  <c:v>-0.25</c:v>
                </c:pt>
                <c:pt idx="2">
                  <c:v>-0.08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233141048"/>
        <c:axId val="240334373"/>
      </c:barChart>
      <c:catAx>
        <c:axId val="233141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334373"/>
        <c:crosses val="autoZero"/>
        <c:auto val="1"/>
        <c:lblAlgn val="ctr"/>
        <c:lblOffset val="100"/>
        <c:noMultiLvlLbl val="0"/>
      </c:catAx>
      <c:valAx>
        <c:axId val="24033437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14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1861a0-720e-4a84-b301-8a4c986be28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dashboard.xlsx]Sheet8!PivotTable2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Sheet8!$H$4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Sheet8!$G$5:$G$8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Sheet8!$H$5:$H$8</c:f>
              <c:numCache>
                <c:formatCode>General</c:formatCode>
                <c:ptCount val="3"/>
                <c:pt idx="0">
                  <c:v>150000</c:v>
                </c:pt>
                <c:pt idx="1">
                  <c:v>120000</c:v>
                </c:pt>
                <c:pt idx="2">
                  <c:v>110000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56858028"/>
        <c:axId val="583805503"/>
      </c:lineChart>
      <c:catAx>
        <c:axId val="55685802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805503"/>
        <c:crosses val="autoZero"/>
        <c:auto val="1"/>
        <c:lblAlgn val="ctr"/>
        <c:lblOffset val="100"/>
        <c:noMultiLvlLbl val="0"/>
      </c:catAx>
      <c:valAx>
        <c:axId val="583805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8580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808d51-5d99-4a16-8b10-12f45026396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dashboard.xlsx]Sheet8!PivotTable13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0690104166666667"/>
          <c:y val="0.0287620800736309"/>
          <c:w val="0.942708333333333"/>
          <c:h val="0.898757478140819"/>
        </c:manualLayout>
      </c:layout>
      <c:areaChart>
        <c:grouping val="standard"/>
        <c:varyColors val="0"/>
        <c:ser>
          <c:idx val="0"/>
          <c:order val="0"/>
          <c:tx>
            <c:strRef>
              <c:f>Sheet8!$N$4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Sheet8!$M$5:$M$8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Sheet8!$N$5:$N$8</c:f>
              <c:numCache>
                <c:formatCode>General</c:formatCode>
                <c:ptCount val="3"/>
                <c:pt idx="0">
                  <c:v>80000</c:v>
                </c:pt>
                <c:pt idx="1">
                  <c:v>10000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1537881"/>
        <c:axId val="664053392"/>
      </c:areaChart>
      <c:catAx>
        <c:axId val="84153788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053392"/>
        <c:crosses val="autoZero"/>
        <c:auto val="1"/>
        <c:lblAlgn val="ctr"/>
        <c:lblOffset val="100"/>
        <c:noMultiLvlLbl val="0"/>
      </c:catAx>
      <c:valAx>
        <c:axId val="66405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53788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a910a2a-ae48-4e6e-befe-c7efb6bc2de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 dashboard.xlsx]Sheet8!PivotTable3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Sheet8!$K$4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65000"/>
                      <a:hueOff val="-1670000"/>
                    </a:schemeClr>
                  </a:gs>
                  <a:gs pos="10000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65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shade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65000"/>
                      <a:hueOff val="-1670000"/>
                    </a:schemeClr>
                  </a:gs>
                  <a:gs pos="10000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tint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elete val="1"/>
          </c:dLbls>
          <c:cat>
            <c:strRef>
              <c:f>Sheet8!$J$5:$J$8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Sheet8!$K$5:$K$8</c:f>
              <c:numCache>
                <c:formatCode>General</c:formatCode>
                <c:ptCount val="3"/>
                <c:pt idx="0">
                  <c:v>150000</c:v>
                </c:pt>
                <c:pt idx="1">
                  <c:v>120000</c:v>
                </c:pt>
                <c:pt idx="2">
                  <c:v>110000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7e3173-5fd0-42c9-a605-4101ca7eee1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 dashboard.xlsx]Sheet8!PivotTable4</c:name>
    <c:fmtId val="2"/>
  </c:pivotSource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Sheet8!$B$15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Sheet8!$A$16:$A$19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Sheet8!$B$16:$B$19</c:f>
              <c:numCache>
                <c:formatCode>General</c:formatCode>
                <c:ptCount val="3"/>
                <c:pt idx="0">
                  <c:v>150000</c:v>
                </c:pt>
                <c:pt idx="1">
                  <c:v>120000</c:v>
                </c:pt>
                <c:pt idx="2">
                  <c:v>110000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5694"/>
        <c:axId val="627802723"/>
      </c:radarChart>
      <c:catAx>
        <c:axId val="4307569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802723"/>
        <c:crosses val="autoZero"/>
        <c:auto val="1"/>
        <c:lblAlgn val="ctr"/>
        <c:lblOffset val="100"/>
        <c:noMultiLvlLbl val="0"/>
      </c:catAx>
      <c:valAx>
        <c:axId val="6278027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756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369fdb-07c4-423c-bc04-7b717c1c59e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dashboard.xlsx]Sheet8!PivotTable5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164085061695983"/>
          <c:y val="0.0933940774487472"/>
          <c:w val="0.942242058283014"/>
          <c:h val="0.899772209567198"/>
        </c:manualLayout>
      </c:layout>
      <c:lineChart>
        <c:grouping val="standard"/>
        <c:varyColors val="0"/>
        <c:ser>
          <c:idx val="0"/>
          <c:order val="0"/>
          <c:tx>
            <c:strRef>
              <c:f>Sheet8!$E$15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Sheet8!$D$16:$D$19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Sheet8!$E$16:$E$19</c:f>
              <c:numCache>
                <c:formatCode>General</c:formatCode>
                <c:ptCount val="3"/>
                <c:pt idx="0">
                  <c:v>150000</c:v>
                </c:pt>
                <c:pt idx="1">
                  <c:v>120000</c:v>
                </c:pt>
                <c:pt idx="2">
                  <c:v>110000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3269442"/>
        <c:axId val="166427307"/>
      </c:lineChart>
      <c:catAx>
        <c:axId val="56326944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27307"/>
        <c:crosses val="autoZero"/>
        <c:auto val="1"/>
        <c:lblAlgn val="ctr"/>
        <c:lblOffset val="100"/>
        <c:noMultiLvlLbl val="0"/>
      </c:catAx>
      <c:valAx>
        <c:axId val="1664273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2694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acb03a-e49c-49ff-9705-186333ba399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dashboard.xlsx]Sheet8!PivotTable11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Sheet8!$H$15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delete val="1"/>
          </c:dLbls>
          <c:cat>
            <c:strRef>
              <c:f>Sheet8!$G$16:$G$19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Sheet8!$H$16:$H$19</c:f>
              <c:numCache>
                <c:formatCode>General</c:formatCode>
                <c:ptCount val="3"/>
                <c:pt idx="0">
                  <c:v>0.4</c:v>
                </c:pt>
                <c:pt idx="1">
                  <c:v>0.06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b419ae-3a77-4fa9-b91c-a4950be953a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 dashboard.xlsx]Sheet8!PivotTable12</c:name>
    <c:fmtId val="2"/>
  </c:pivotSource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Sheet8!$K$15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1"/>
          <c:dPt>
            <c:idx val="0"/>
            <c:invertIfNegative val="1"/>
            <c:bubble3D val="0"/>
            <c:spPr>
              <a:gradFill>
                <a:gsLst>
                  <a:gs pos="100000">
                    <a:schemeClr val="accent2">
                      <a:shade val="65000"/>
                    </a:schemeClr>
                  </a:gs>
                  <a:gs pos="0">
                    <a:schemeClr val="accent2">
                      <a:shade val="65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2">
                        <a:shade val="65000"/>
                        <a:lumMod val="75000"/>
                      </a:schemeClr>
                    </a:gs>
                    <a:gs pos="0">
                      <a:schemeClr val="accent2">
                        <a:shade val="65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1"/>
            <c:invertIfNegative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2"/>
            <c:invertIfNegative val="1"/>
            <c:bubble3D val="0"/>
            <c:spPr>
              <a:gradFill>
                <a:gsLst>
                  <a:gs pos="100000">
                    <a:schemeClr val="accent2">
                      <a:tint val="65000"/>
                    </a:schemeClr>
                  </a:gs>
                  <a:gs pos="0">
                    <a:schemeClr val="accent2">
                      <a:tint val="65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2">
                        <a:tint val="65000"/>
                        <a:lumMod val="75000"/>
                      </a:schemeClr>
                    </a:gs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Sheet8!$J$16:$J$19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Sheet8!$K$16:$K$19</c:f>
              <c:numCache>
                <c:formatCode>General</c:formatCode>
                <c:ptCount val="3"/>
                <c:pt idx="0">
                  <c:v>120000</c:v>
                </c:pt>
                <c:pt idx="1">
                  <c:v>160000</c:v>
                </c:pt>
                <c:pt idx="2">
                  <c:v>170000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7430648"/>
        <c:axId val="894689408"/>
      </c:barChart>
      <c:catAx>
        <c:axId val="78743064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689408"/>
        <c:crosses val="autoZero"/>
        <c:auto val="1"/>
        <c:lblAlgn val="ctr"/>
        <c:lblOffset val="100"/>
        <c:noMultiLvlLbl val="0"/>
      </c:catAx>
      <c:valAx>
        <c:axId val="894689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430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aee0e4-6b75-4bcb-b802-f6723d11b3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dashboard.xlsx]Sheet8!PivotTable14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538133530657401"/>
          <c:y val="0.00683215668412662"/>
          <c:w val="0.942249639060244"/>
          <c:h val="0.899795035299476"/>
        </c:manualLayout>
      </c:layout>
      <c:lineChart>
        <c:grouping val="standard"/>
        <c:varyColors val="0"/>
        <c:ser>
          <c:idx val="0"/>
          <c:order val="0"/>
          <c:tx>
            <c:strRef>
              <c:f>Sheet8!$N$15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25400" dir="5400000" algn="t" rotWithShape="0">
                <a:schemeClr val="accent6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Sheet8!$M$16:$M$19</c:f>
              <c:strCache>
                <c:ptCount val="3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Sheet8!$N$16:$N$19</c:f>
              <c:numCache>
                <c:formatCode>General</c:formatCode>
                <c:ptCount val="3"/>
                <c:pt idx="0">
                  <c:v>850000</c:v>
                </c:pt>
                <c:pt idx="1">
                  <c:v>290000</c:v>
                </c:pt>
                <c:pt idx="2">
                  <c:v>20000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7242018"/>
        <c:axId val="951310412"/>
      </c:lineChart>
      <c:catAx>
        <c:axId val="24724201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310412"/>
        <c:crosses val="autoZero"/>
        <c:auto val="1"/>
        <c:lblAlgn val="ctr"/>
        <c:lblOffset val="100"/>
        <c:noMultiLvlLbl val="0"/>
      </c:catAx>
      <c:valAx>
        <c:axId val="9513104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2420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aa6f45-8b88-492a-a76e-3f255d7682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5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7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3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494665</xdr:colOff>
      <xdr:row>2</xdr:row>
      <xdr:rowOff>151765</xdr:rowOff>
    </xdr:from>
    <xdr:to>
      <xdr:col>15</xdr:col>
      <xdr:colOff>443230</xdr:colOff>
      <xdr:row>18</xdr:row>
      <xdr:rowOff>8890</xdr:rowOff>
    </xdr:to>
    <xdr:graphicFrame>
      <xdr:nvGraphicFramePr>
        <xdr:cNvPr id="3" name="Chart 2"/>
        <xdr:cNvGraphicFramePr/>
      </xdr:nvGraphicFramePr>
      <xdr:xfrm>
        <a:off x="4761865" y="520065"/>
        <a:ext cx="4825365" cy="280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352425</xdr:colOff>
      <xdr:row>7</xdr:row>
      <xdr:rowOff>130810</xdr:rowOff>
    </xdr:from>
    <xdr:to>
      <xdr:col>14</xdr:col>
      <xdr:colOff>295910</xdr:colOff>
      <xdr:row>22</xdr:row>
      <xdr:rowOff>171450</xdr:rowOff>
    </xdr:to>
    <xdr:graphicFrame>
      <xdr:nvGraphicFramePr>
        <xdr:cNvPr id="4" name="Chart 3"/>
        <xdr:cNvGraphicFramePr/>
      </xdr:nvGraphicFramePr>
      <xdr:xfrm>
        <a:off x="4010025" y="1419860"/>
        <a:ext cx="4820285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185420</xdr:colOff>
      <xdr:row>3</xdr:row>
      <xdr:rowOff>151130</xdr:rowOff>
    </xdr:from>
    <xdr:to>
      <xdr:col>25</xdr:col>
      <xdr:colOff>156210</xdr:colOff>
      <xdr:row>19</xdr:row>
      <xdr:rowOff>8255</xdr:rowOff>
    </xdr:to>
    <xdr:graphicFrame>
      <xdr:nvGraphicFramePr>
        <xdr:cNvPr id="5" name="Chart 4"/>
        <xdr:cNvGraphicFramePr/>
      </xdr:nvGraphicFramePr>
      <xdr:xfrm>
        <a:off x="10548620" y="703580"/>
        <a:ext cx="4847590" cy="280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555625</xdr:colOff>
      <xdr:row>31</xdr:row>
      <xdr:rowOff>70485</xdr:rowOff>
    </xdr:from>
    <xdr:to>
      <xdr:col>34</xdr:col>
      <xdr:colOff>534035</xdr:colOff>
      <xdr:row>46</xdr:row>
      <xdr:rowOff>111125</xdr:rowOff>
    </xdr:to>
    <xdr:graphicFrame>
      <xdr:nvGraphicFramePr>
        <xdr:cNvPr id="6" name="Chart 5"/>
        <xdr:cNvGraphicFramePr/>
      </xdr:nvGraphicFramePr>
      <xdr:xfrm>
        <a:off x="16405225" y="5779135"/>
        <a:ext cx="485521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545465</xdr:colOff>
      <xdr:row>27</xdr:row>
      <xdr:rowOff>161290</xdr:rowOff>
    </xdr:from>
    <xdr:to>
      <xdr:col>16</xdr:col>
      <xdr:colOff>504825</xdr:colOff>
      <xdr:row>43</xdr:row>
      <xdr:rowOff>18415</xdr:rowOff>
    </xdr:to>
    <xdr:graphicFrame>
      <xdr:nvGraphicFramePr>
        <xdr:cNvPr id="7" name="Chart 6"/>
        <xdr:cNvGraphicFramePr/>
      </xdr:nvGraphicFramePr>
      <xdr:xfrm>
        <a:off x="5422265" y="5133340"/>
        <a:ext cx="4836160" cy="280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312420</xdr:colOff>
      <xdr:row>15</xdr:row>
      <xdr:rowOff>74295</xdr:rowOff>
    </xdr:from>
    <xdr:to>
      <xdr:col>43</xdr:col>
      <xdr:colOff>260985</xdr:colOff>
      <xdr:row>30</xdr:row>
      <xdr:rowOff>114935</xdr:rowOff>
    </xdr:to>
    <xdr:graphicFrame>
      <xdr:nvGraphicFramePr>
        <xdr:cNvPr id="8" name="Chart 7"/>
        <xdr:cNvGraphicFramePr/>
      </xdr:nvGraphicFramePr>
      <xdr:xfrm>
        <a:off x="21648420" y="2836545"/>
        <a:ext cx="4825365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262890</xdr:colOff>
      <xdr:row>4</xdr:row>
      <xdr:rowOff>126365</xdr:rowOff>
    </xdr:from>
    <xdr:to>
      <xdr:col>24</xdr:col>
      <xdr:colOff>216535</xdr:colOff>
      <xdr:row>19</xdr:row>
      <xdr:rowOff>167005</xdr:rowOff>
    </xdr:to>
    <xdr:graphicFrame>
      <xdr:nvGraphicFramePr>
        <xdr:cNvPr id="9" name="Chart 8"/>
        <xdr:cNvGraphicFramePr/>
      </xdr:nvGraphicFramePr>
      <xdr:xfrm>
        <a:off x="10016490" y="862965"/>
        <a:ext cx="4830445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358140</xdr:colOff>
      <xdr:row>2</xdr:row>
      <xdr:rowOff>156845</xdr:rowOff>
    </xdr:from>
    <xdr:to>
      <xdr:col>33</xdr:col>
      <xdr:colOff>312420</xdr:colOff>
      <xdr:row>18</xdr:row>
      <xdr:rowOff>13335</xdr:rowOff>
    </xdr:to>
    <xdr:graphicFrame>
      <xdr:nvGraphicFramePr>
        <xdr:cNvPr id="10" name="Chart 9"/>
        <xdr:cNvGraphicFramePr/>
      </xdr:nvGraphicFramePr>
      <xdr:xfrm>
        <a:off x="15598140" y="525145"/>
        <a:ext cx="483108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571500</xdr:colOff>
      <xdr:row>28</xdr:row>
      <xdr:rowOff>113030</xdr:rowOff>
    </xdr:from>
    <xdr:to>
      <xdr:col>24</xdr:col>
      <xdr:colOff>525780</xdr:colOff>
      <xdr:row>43</xdr:row>
      <xdr:rowOff>153670</xdr:rowOff>
    </xdr:to>
    <xdr:graphicFrame>
      <xdr:nvGraphicFramePr>
        <xdr:cNvPr id="11" name="Chart 10"/>
        <xdr:cNvGraphicFramePr/>
      </xdr:nvGraphicFramePr>
      <xdr:xfrm>
        <a:off x="10325100" y="5269230"/>
        <a:ext cx="483108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98425</xdr:colOff>
      <xdr:row>2</xdr:row>
      <xdr:rowOff>103505</xdr:rowOff>
    </xdr:from>
    <xdr:to>
      <xdr:col>25</xdr:col>
      <xdr:colOff>52705</xdr:colOff>
      <xdr:row>17</xdr:row>
      <xdr:rowOff>144145</xdr:rowOff>
    </xdr:to>
    <xdr:graphicFrame>
      <xdr:nvGraphicFramePr>
        <xdr:cNvPr id="12" name="Chart 11"/>
        <xdr:cNvGraphicFramePr/>
      </xdr:nvGraphicFramePr>
      <xdr:xfrm>
        <a:off x="10461625" y="471805"/>
        <a:ext cx="483108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264795</xdr:colOff>
      <xdr:row>2</xdr:row>
      <xdr:rowOff>145415</xdr:rowOff>
    </xdr:from>
    <xdr:to>
      <xdr:col>4</xdr:col>
      <xdr:colOff>467360</xdr:colOff>
      <xdr:row>34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Valu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795" y="513715"/>
              <a:ext cx="2640965" cy="575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4.0185416667" refreshedBy="Ali LaPtOp" recordCount="6">
  <cacheSource type="worksheet">
    <worksheetSource ref="A13:L19" sheet="Sheet1"/>
  </cacheSource>
  <cacheFields count="12">
    <cacheField name="Count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Sales " numFmtId="3">
      <sharedItems containsSemiMixedTypes="0" containsString="0" containsNumber="1" containsInteger="1" minValue="110000" maxValue="180000" count="6">
        <n v="150000"/>
        <n v="130000"/>
        <n v="160000"/>
        <n v="120000"/>
        <n v="110000"/>
        <n v="180000"/>
      </sharedItems>
    </cacheField>
    <cacheField name="Revenue " numFmtId="3">
      <sharedItems containsSemiMixedTypes="0" containsString="0" containsNumber="1" containsInteger="1" minValue="150000" maxValue="250000" count="6">
        <n v="200000"/>
        <n v="180000"/>
        <n v="220000"/>
        <n v="170000"/>
        <n v="150000"/>
        <n v="250000"/>
      </sharedItems>
    </cacheField>
    <cacheField name="Expenses " numFmtId="3">
      <sharedItems containsSemiMixedTypes="0" containsString="0" containsNumber="1" containsInteger="1" minValue="120000" maxValue="170000" count="5">
        <n v="120000"/>
        <n v="140000"/>
        <n v="150000"/>
        <n v="160000"/>
        <n v="170000"/>
      </sharedItems>
    </cacheField>
    <cacheField name="Profit " numFmtId="0">
      <sharedItems containsSemiMixedTypes="0" containsString="0" containsNumber="1" containsInteger="1" minValue="0" maxValue="90000" count="6">
        <n v="80000"/>
        <n v="40000"/>
        <n v="70000"/>
        <n v="10000"/>
        <n v="0"/>
        <n v="90000"/>
      </sharedItems>
    </cacheField>
    <cacheField name="Loss " numFmtId="0">
      <sharedItems containsSemiMixedTypes="0" containsString="0" containsNumber="1" containsInteger="1" minValue="0" maxValue="20000" count="2">
        <n v="0"/>
        <n v="20000"/>
      </sharedItems>
    </cacheField>
    <cacheField name="Profit %" numFmtId="9">
      <sharedItems containsSemiMixedTypes="0" containsString="0" containsNumber="1" minValue="0" maxValue="0.4" count="6">
        <n v="0.4"/>
        <n v="0.22"/>
        <n v="0.31"/>
        <n v="0.06"/>
        <n v="0"/>
        <n v="0.36"/>
      </sharedItems>
    </cacheField>
    <cacheField name="Growth %" numFmtId="9">
      <sharedItems containsSemiMixedTypes="0" containsString="0" containsNumber="1" minValue="-0.25" maxValue="0.4" count="6">
        <n v="0.1"/>
        <n v="-0.13"/>
        <n v="0.2"/>
        <n v="-0.25"/>
        <n v="-0.08"/>
        <n v="0.4"/>
      </sharedItems>
    </cacheField>
    <cacheField name="Notes" numFmtId="0">
      <sharedItems count="6">
        <s v="Good month"/>
        <s v="Less sales"/>
        <s v="Excellent"/>
        <s v="Low profit"/>
        <s v="Loss month"/>
        <s v="Best month"/>
      </sharedItems>
    </cacheField>
    <cacheField name="Metric" numFmtId="0">
      <sharedItems count="6">
        <s v="Total Sales"/>
        <s v="Total Revenue"/>
        <s v="Total Expenses"/>
        <s v="Total Profit"/>
        <s v="Total Loss"/>
        <s v="Avg Profit %"/>
      </sharedItems>
    </cacheField>
    <cacheField name="Value" numFmtId="0">
      <sharedItems containsSemiMixedTypes="0" containsString="0" containsNumber="1" minValue="0.22" maxValue="1170000" count="6">
        <n v="850000"/>
        <n v="1170000"/>
        <n v="900000"/>
        <n v="290000"/>
        <n v="20000"/>
        <n v="0.2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</r>
  <r>
    <x v="2"/>
    <x v="2"/>
    <x v="2"/>
    <x v="2"/>
    <x v="2"/>
    <x v="2"/>
    <x v="0"/>
    <x v="2"/>
    <x v="2"/>
    <x v="2"/>
    <x v="2"/>
    <x v="2"/>
  </r>
  <r>
    <x v="3"/>
    <x v="3"/>
    <x v="3"/>
    <x v="3"/>
    <x v="3"/>
    <x v="3"/>
    <x v="0"/>
    <x v="3"/>
    <x v="3"/>
    <x v="3"/>
    <x v="3"/>
    <x v="3"/>
  </r>
  <r>
    <x v="4"/>
    <x v="4"/>
    <x v="4"/>
    <x v="4"/>
    <x v="4"/>
    <x v="4"/>
    <x v="1"/>
    <x v="4"/>
    <x v="4"/>
    <x v="4"/>
    <x v="4"/>
    <x v="4"/>
  </r>
  <r>
    <x v="5"/>
    <x v="5"/>
    <x v="5"/>
    <x v="5"/>
    <x v="3"/>
    <x v="5"/>
    <x v="0"/>
    <x v="5"/>
    <x v="5"/>
    <x v="5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8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Sales " fld="2" baseField="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4:H8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Average of Sales " fld="2" subtotal="average" baseField="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4:K8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Max of Sales " fld="2" subtotal="max" baseField="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5:B19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Min of Sales " fld="2" subtotal="min" baseField="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5:E19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Product of Sales " fld="2" subtotal="product" baseField="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4:E8" firstHeaderRow="1" firstDataRow="1" firstDataCol="1"/>
  <pivotFields count="12">
    <pivotField compact="0" showAll="0">
      <items count="7">
        <item x="0"/>
        <item h="1" x="1"/>
        <item x="2"/>
        <item x="3"/>
        <item x="4"/>
        <item h="1"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Growth %" fld="8" baseField="1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5:H19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Profit %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15:K19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Expenses 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4:N8" firstHeaderRow="1" firstDataRow="1" firstDataCol="1"/>
  <pivotFields count="12">
    <pivotField compact="0" showAll="0">
      <items count="7">
        <item x="0"/>
        <item h="1" x="1"/>
        <item x="2"/>
        <item x="3"/>
        <item x="4"/>
        <item h="1"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h="1" x="3"/>
        <item h="1" x="4"/>
        <item t="default"/>
      </items>
    </pivotField>
    <pivotField dataField="1" compact="0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h="1" x="0"/>
        <item x="1"/>
        <item h="1" x="2"/>
        <item x="3"/>
        <item x="4"/>
        <item h="1"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Profit 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15:N19" firstHeaderRow="1" firstDataRow="1" firstDataCol="1"/>
  <pivotFields count="12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7">
        <item x="4"/>
        <item x="3"/>
        <item x="1"/>
        <item x="0"/>
        <item x="2"/>
        <item x="5"/>
        <item t="default"/>
      </items>
    </pivotField>
    <pivotField compact="0" numFmtId="3" showAll="0">
      <items count="7">
        <item x="0"/>
        <item x="1"/>
        <item x="2"/>
        <item x="3"/>
        <item x="4"/>
        <item x="5"/>
        <item t="default"/>
      </items>
    </pivotField>
    <pivotField compact="0" numFmtId="3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">
        <item x="0"/>
        <item x="1"/>
        <item x="2"/>
        <item x="3"/>
        <item x="4"/>
        <item x="5"/>
        <item t="default"/>
      </items>
    </pivotField>
    <pivotField compact="0" numFmtId="9" showAll="0">
      <items count="7">
        <item h="1" x="0"/>
        <item h="1" x="1"/>
        <item h="1" x="2"/>
        <item x="3"/>
        <item h="1" x="4"/>
        <item h="1"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7">
        <item x="0"/>
        <item h="1" x="1"/>
        <item h="1" x="2"/>
        <item x="3"/>
        <item x="4"/>
        <item h="1" x="5"/>
        <item t="default"/>
      </items>
    </pivotField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Value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Value" sourceName="Value">
  <pivotTables>
    <pivotTable tabId="33" name="PivotTable13"/>
    <pivotTable tabId="33" name="PivotTable8"/>
    <pivotTable tabId="33" name="PivotTable3"/>
    <pivotTable tabId="33" name="PivotTable4"/>
    <pivotTable tabId="33" name="PivotTable5"/>
    <pivotTable tabId="33" name="PivotTable10"/>
    <pivotTable tabId="33" name="PivotTable11"/>
    <pivotTable tabId="33" name="PivotTable12"/>
    <pivotTable tabId="33" name="PivotTable14"/>
    <pivotTable tabId="33" name="PivotTable2"/>
  </pivotTables>
  <data>
    <tabular pivotCacheId="1">
      <items count="6">
        <i x="5" s="0"/>
        <i x="4" s="1"/>
        <i x="3" s="1"/>
        <i x="0" s="1"/>
        <i x="2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Value" cache="Slicer_Value" caption="Value" style="SlicerStyleDark4" rowHeight="82296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N19"/>
  <sheetViews>
    <sheetView tabSelected="1" zoomScale="54" zoomScaleNormal="54" workbookViewId="0">
      <selection activeCell="E4" sqref="E4"/>
    </sheetView>
  </sheetViews>
  <sheetFormatPr defaultColWidth="8.72727272727273" defaultRowHeight="14.5"/>
  <cols>
    <col min="1" max="1" width="11.6363636363636"/>
    <col min="2" max="2" width="12.3636363636364"/>
    <col min="3" max="3" width="12.8181818181818"/>
    <col min="4" max="4" width="11.6363636363636"/>
    <col min="5" max="5" width="16.9090909090909"/>
    <col min="7" max="7" width="11.6363636363636"/>
    <col min="8" max="8" width="16.2727272727273"/>
    <col min="10" max="10" width="11.6363636363636"/>
    <col min="11" max="11" width="16.8181818181818"/>
    <col min="13" max="13" width="11.6363636363636"/>
    <col min="14" max="14" width="12.9090909090909"/>
    <col min="15" max="18" width="9.18181818181818"/>
    <col min="19" max="19" width="11.5454545454545"/>
    <col min="20" max="20" width="15.2727272727273"/>
    <col min="21" max="21" width="13.1363636363636"/>
    <col min="22" max="22" width="16.4545454545455"/>
    <col min="23" max="23" width="13.1363636363636"/>
    <col min="24" max="24" width="16.4545454545455"/>
    <col min="25" max="25" width="11.5454545454545"/>
    <col min="26" max="26" width="16.4545454545455"/>
    <col min="27" max="27" width="14.9090909090909"/>
    <col min="28" max="28" width="13.5"/>
    <col min="29" max="29" width="16.4545454545455"/>
    <col min="30" max="30" width="16.9090909090909"/>
    <col min="31" max="31" width="11.5454545454545"/>
  </cols>
  <sheetData>
    <row r="4" spans="1:14">
      <c r="A4" t="s">
        <v>0</v>
      </c>
      <c r="B4" t="s">
        <v>1</v>
      </c>
      <c r="C4" s="21"/>
      <c r="D4" t="s">
        <v>0</v>
      </c>
      <c r="E4" t="s">
        <v>2</v>
      </c>
      <c r="G4" t="s">
        <v>0</v>
      </c>
      <c r="H4" t="s">
        <v>3</v>
      </c>
      <c r="J4" t="s">
        <v>0</v>
      </c>
      <c r="K4" t="s">
        <v>4</v>
      </c>
      <c r="M4" t="s">
        <v>0</v>
      </c>
      <c r="N4" t="s">
        <v>5</v>
      </c>
    </row>
    <row r="5" spans="1:14">
      <c r="A5" t="s">
        <v>6</v>
      </c>
      <c r="B5" s="22">
        <v>150000</v>
      </c>
      <c r="C5" s="21"/>
      <c r="D5" t="s">
        <v>6</v>
      </c>
      <c r="E5" s="22">
        <v>0.1</v>
      </c>
      <c r="G5" t="s">
        <v>6</v>
      </c>
      <c r="H5" s="22">
        <v>150000</v>
      </c>
      <c r="J5" t="s">
        <v>6</v>
      </c>
      <c r="K5" s="22">
        <v>150000</v>
      </c>
      <c r="M5" t="s">
        <v>6</v>
      </c>
      <c r="N5">
        <v>80000</v>
      </c>
    </row>
    <row r="6" spans="1:14">
      <c r="A6" t="s">
        <v>7</v>
      </c>
      <c r="B6" s="22">
        <v>120000</v>
      </c>
      <c r="C6" s="21"/>
      <c r="D6" t="s">
        <v>7</v>
      </c>
      <c r="E6" s="22">
        <v>-0.25</v>
      </c>
      <c r="G6" t="s">
        <v>7</v>
      </c>
      <c r="H6" s="22">
        <v>120000</v>
      </c>
      <c r="J6" t="s">
        <v>7</v>
      </c>
      <c r="K6" s="22">
        <v>120000</v>
      </c>
      <c r="M6" t="s">
        <v>7</v>
      </c>
      <c r="N6">
        <v>10000</v>
      </c>
    </row>
    <row r="7" spans="1:14">
      <c r="A7" t="s">
        <v>8</v>
      </c>
      <c r="B7" s="22">
        <v>110000</v>
      </c>
      <c r="C7" s="21"/>
      <c r="D7" t="s">
        <v>8</v>
      </c>
      <c r="E7" s="22">
        <v>-0.08</v>
      </c>
      <c r="G7" t="s">
        <v>8</v>
      </c>
      <c r="H7" s="22">
        <v>110000</v>
      </c>
      <c r="J7" t="s">
        <v>8</v>
      </c>
      <c r="K7" s="22">
        <v>110000</v>
      </c>
      <c r="M7" t="s">
        <v>8</v>
      </c>
      <c r="N7">
        <v>0</v>
      </c>
    </row>
    <row r="8" spans="1:14">
      <c r="A8" t="s">
        <v>9</v>
      </c>
      <c r="B8" s="22">
        <v>380000</v>
      </c>
      <c r="C8" s="21"/>
      <c r="D8" t="s">
        <v>9</v>
      </c>
      <c r="E8" s="22">
        <v>-0.23</v>
      </c>
      <c r="G8" t="s">
        <v>9</v>
      </c>
      <c r="H8" s="22">
        <v>126666.666666667</v>
      </c>
      <c r="J8" t="s">
        <v>9</v>
      </c>
      <c r="K8" s="22">
        <v>150000</v>
      </c>
      <c r="M8" t="s">
        <v>9</v>
      </c>
      <c r="N8">
        <v>90000</v>
      </c>
    </row>
    <row r="9" spans="3:3">
      <c r="C9" s="21"/>
    </row>
    <row r="10" spans="3:3">
      <c r="C10" s="21"/>
    </row>
    <row r="15" spans="1:14">
      <c r="A15" t="s">
        <v>0</v>
      </c>
      <c r="B15" t="s">
        <v>10</v>
      </c>
      <c r="D15" t="s">
        <v>0</v>
      </c>
      <c r="E15" t="s">
        <v>11</v>
      </c>
      <c r="G15" t="s">
        <v>0</v>
      </c>
      <c r="H15" t="s">
        <v>12</v>
      </c>
      <c r="J15" t="s">
        <v>0</v>
      </c>
      <c r="K15" t="s">
        <v>13</v>
      </c>
      <c r="M15" t="s">
        <v>0</v>
      </c>
      <c r="N15" t="s">
        <v>14</v>
      </c>
    </row>
    <row r="16" spans="1:14">
      <c r="A16" t="s">
        <v>6</v>
      </c>
      <c r="B16" s="22">
        <v>150000</v>
      </c>
      <c r="D16" t="s">
        <v>6</v>
      </c>
      <c r="E16" s="22">
        <v>150000</v>
      </c>
      <c r="G16" t="s">
        <v>6</v>
      </c>
      <c r="H16">
        <v>0.4</v>
      </c>
      <c r="J16" t="s">
        <v>6</v>
      </c>
      <c r="K16">
        <v>120000</v>
      </c>
      <c r="M16" t="s">
        <v>6</v>
      </c>
      <c r="N16">
        <v>850000</v>
      </c>
    </row>
    <row r="17" spans="1:14">
      <c r="A17" t="s">
        <v>7</v>
      </c>
      <c r="B17" s="22">
        <v>120000</v>
      </c>
      <c r="D17" t="s">
        <v>7</v>
      </c>
      <c r="E17" s="22">
        <v>120000</v>
      </c>
      <c r="G17" t="s">
        <v>7</v>
      </c>
      <c r="H17">
        <v>0.06</v>
      </c>
      <c r="J17" t="s">
        <v>7</v>
      </c>
      <c r="K17">
        <v>160000</v>
      </c>
      <c r="M17" t="s">
        <v>7</v>
      </c>
      <c r="N17">
        <v>290000</v>
      </c>
    </row>
    <row r="18" spans="1:14">
      <c r="A18" t="s">
        <v>8</v>
      </c>
      <c r="B18" s="22">
        <v>110000</v>
      </c>
      <c r="D18" t="s">
        <v>8</v>
      </c>
      <c r="E18" s="22">
        <v>110000</v>
      </c>
      <c r="G18" t="s">
        <v>8</v>
      </c>
      <c r="H18">
        <v>0</v>
      </c>
      <c r="J18" t="s">
        <v>8</v>
      </c>
      <c r="K18">
        <v>170000</v>
      </c>
      <c r="M18" t="s">
        <v>8</v>
      </c>
      <c r="N18">
        <v>20000</v>
      </c>
    </row>
    <row r="19" spans="1:14">
      <c r="A19" t="s">
        <v>9</v>
      </c>
      <c r="B19" s="22">
        <v>110000</v>
      </c>
      <c r="D19" t="s">
        <v>9</v>
      </c>
      <c r="E19" s="22">
        <v>1980000000000000</v>
      </c>
      <c r="G19" t="s">
        <v>9</v>
      </c>
      <c r="H19">
        <v>0.46</v>
      </c>
      <c r="J19" t="s">
        <v>9</v>
      </c>
      <c r="K19">
        <v>450000</v>
      </c>
      <c r="M19" t="s">
        <v>9</v>
      </c>
      <c r="N19">
        <v>1160000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9"/>
  <sheetViews>
    <sheetView topLeftCell="A10" workbookViewId="0">
      <selection activeCell="C15" sqref="C15"/>
    </sheetView>
  </sheetViews>
  <sheetFormatPr defaultColWidth="9" defaultRowHeight="14.5"/>
  <cols>
    <col min="3" max="3" width="12.7272727272727" customWidth="1"/>
    <col min="4" max="4" width="13.0909090909091" customWidth="1"/>
    <col min="5" max="5" width="11.8181818181818" customWidth="1"/>
    <col min="7" max="7" width="10.9090909090909" customWidth="1"/>
    <col min="8" max="8" width="10.7272727272727" customWidth="1"/>
    <col min="9" max="9" width="12.7272727272727" customWidth="1"/>
    <col min="10" max="10" width="13.2727272727273" customWidth="1"/>
    <col min="11" max="11" width="15" customWidth="1"/>
    <col min="12" max="12" width="9.81818181818182"/>
  </cols>
  <sheetData>
    <row r="3" spans="1:12">
      <c r="A3" s="2"/>
      <c r="B3" s="2"/>
      <c r="C3" s="2"/>
      <c r="K3" s="2"/>
      <c r="L3" s="2"/>
    </row>
    <row r="4" ht="15" spans="1:1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" spans="1:1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7"/>
      <c r="B6" s="8"/>
      <c r="C6" s="9"/>
      <c r="D6" s="9"/>
      <c r="E6" s="9"/>
      <c r="F6" s="9"/>
      <c r="G6" s="8"/>
      <c r="H6" s="10"/>
      <c r="I6" s="10"/>
      <c r="J6" s="8"/>
      <c r="K6" s="8"/>
      <c r="L6" s="9"/>
    </row>
    <row r="7" spans="1:12">
      <c r="A7" s="7"/>
      <c r="B7" s="8"/>
      <c r="C7" s="9"/>
      <c r="D7" s="9"/>
      <c r="E7" s="9"/>
      <c r="F7" s="9"/>
      <c r="G7" s="8"/>
      <c r="H7" s="10"/>
      <c r="I7" s="10"/>
      <c r="J7" s="8"/>
      <c r="K7" s="8"/>
      <c r="L7" s="9"/>
    </row>
    <row r="8" ht="16" customHeight="1" spans="1:12">
      <c r="A8" s="7"/>
      <c r="B8" s="8"/>
      <c r="C8" s="9"/>
      <c r="D8" s="9"/>
      <c r="E8" s="9"/>
      <c r="F8" s="9"/>
      <c r="G8" s="8"/>
      <c r="H8" s="10"/>
      <c r="I8" s="10"/>
      <c r="J8" s="8"/>
      <c r="K8" s="8"/>
      <c r="L8" s="9"/>
    </row>
    <row r="9" spans="1:12">
      <c r="A9" s="7"/>
      <c r="B9" s="8"/>
      <c r="C9" s="9"/>
      <c r="D9" s="9"/>
      <c r="E9" s="9"/>
      <c r="F9" s="9"/>
      <c r="G9" s="8"/>
      <c r="H9" s="10"/>
      <c r="I9" s="10"/>
      <c r="J9" s="8"/>
      <c r="K9" s="8"/>
      <c r="L9" s="9"/>
    </row>
    <row r="10" spans="1:12">
      <c r="A10" s="7"/>
      <c r="B10" s="8"/>
      <c r="C10" s="9"/>
      <c r="D10" s="9"/>
      <c r="E10" s="9"/>
      <c r="F10" s="8"/>
      <c r="G10" s="9"/>
      <c r="H10" s="10"/>
      <c r="I10" s="10"/>
      <c r="J10" s="8"/>
      <c r="K10" s="8"/>
      <c r="L10" s="9"/>
    </row>
    <row r="11" ht="22.5" spans="1:12">
      <c r="A11" s="7"/>
      <c r="B11" s="11" t="s">
        <v>15</v>
      </c>
      <c r="C11" s="11"/>
      <c r="D11" s="11"/>
      <c r="E11" s="11"/>
      <c r="F11" s="11"/>
      <c r="G11" s="11"/>
      <c r="H11" s="11"/>
      <c r="I11" s="11"/>
      <c r="J11" s="11"/>
      <c r="K11" s="11"/>
      <c r="L11" s="20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  <c r="L12" s="10"/>
    </row>
    <row r="13" ht="17.5" spans="1:12">
      <c r="A13" s="12" t="s">
        <v>16</v>
      </c>
      <c r="B13" s="12" t="s">
        <v>0</v>
      </c>
      <c r="C13" s="12" t="s">
        <v>17</v>
      </c>
      <c r="D13" s="12" t="s">
        <v>18</v>
      </c>
      <c r="E13" s="12" t="s">
        <v>19</v>
      </c>
      <c r="F13" s="12" t="s">
        <v>20</v>
      </c>
      <c r="G13" s="12" t="s">
        <v>21</v>
      </c>
      <c r="H13" s="12" t="s">
        <v>22</v>
      </c>
      <c r="I13" s="12" t="s">
        <v>23</v>
      </c>
      <c r="J13" s="12" t="s">
        <v>24</v>
      </c>
      <c r="K13" s="12" t="s">
        <v>25</v>
      </c>
      <c r="L13" s="12" t="s">
        <v>26</v>
      </c>
    </row>
    <row r="14" spans="1:12">
      <c r="A14" s="13">
        <v>1</v>
      </c>
      <c r="B14" s="13" t="s">
        <v>6</v>
      </c>
      <c r="C14" s="14">
        <v>150000</v>
      </c>
      <c r="D14" s="14">
        <v>200000</v>
      </c>
      <c r="E14" s="14">
        <v>120000</v>
      </c>
      <c r="F14" s="14">
        <v>80000</v>
      </c>
      <c r="G14" s="13">
        <v>0</v>
      </c>
      <c r="H14" s="15">
        <v>0.4</v>
      </c>
      <c r="I14" s="15">
        <v>0.1</v>
      </c>
      <c r="J14" s="13" t="s">
        <v>27</v>
      </c>
      <c r="K14" s="13" t="s">
        <v>28</v>
      </c>
      <c r="L14" s="14">
        <v>850000</v>
      </c>
    </row>
    <row r="15" spans="1:12">
      <c r="A15" s="13">
        <v>2</v>
      </c>
      <c r="B15" s="13" t="s">
        <v>29</v>
      </c>
      <c r="C15" s="14">
        <v>130000</v>
      </c>
      <c r="D15" s="14">
        <v>180000</v>
      </c>
      <c r="E15" s="14">
        <v>140000</v>
      </c>
      <c r="F15" s="14">
        <v>40000</v>
      </c>
      <c r="G15" s="13">
        <v>0</v>
      </c>
      <c r="H15" s="15">
        <v>0.22</v>
      </c>
      <c r="I15" s="15">
        <v>-0.13</v>
      </c>
      <c r="J15" s="13" t="s">
        <v>30</v>
      </c>
      <c r="K15" s="13" t="s">
        <v>31</v>
      </c>
      <c r="L15" s="14">
        <v>1170000</v>
      </c>
    </row>
    <row r="16" spans="1:12">
      <c r="A16" s="13">
        <v>3</v>
      </c>
      <c r="B16" s="13" t="s">
        <v>32</v>
      </c>
      <c r="C16" s="14">
        <v>160000</v>
      </c>
      <c r="D16" s="14">
        <v>220000</v>
      </c>
      <c r="E16" s="14">
        <v>150000</v>
      </c>
      <c r="F16" s="14">
        <v>70000</v>
      </c>
      <c r="G16" s="13">
        <v>0</v>
      </c>
      <c r="H16" s="15">
        <v>0.31</v>
      </c>
      <c r="I16" s="15">
        <v>0.2</v>
      </c>
      <c r="J16" s="13" t="s">
        <v>33</v>
      </c>
      <c r="K16" s="13" t="s">
        <v>34</v>
      </c>
      <c r="L16" s="14">
        <v>900000</v>
      </c>
    </row>
    <row r="17" spans="1:12">
      <c r="A17" s="13">
        <v>4</v>
      </c>
      <c r="B17" s="13" t="s">
        <v>7</v>
      </c>
      <c r="C17" s="14">
        <v>120000</v>
      </c>
      <c r="D17" s="14">
        <v>170000</v>
      </c>
      <c r="E17" s="14">
        <v>160000</v>
      </c>
      <c r="F17" s="14">
        <v>10000</v>
      </c>
      <c r="G17" s="13">
        <v>0</v>
      </c>
      <c r="H17" s="15">
        <v>0.06</v>
      </c>
      <c r="I17" s="15">
        <v>-0.25</v>
      </c>
      <c r="J17" s="13" t="s">
        <v>35</v>
      </c>
      <c r="K17" s="13" t="s">
        <v>36</v>
      </c>
      <c r="L17" s="14">
        <v>290000</v>
      </c>
    </row>
    <row r="18" spans="1:12">
      <c r="A18" s="13">
        <v>5</v>
      </c>
      <c r="B18" s="13" t="s">
        <v>8</v>
      </c>
      <c r="C18" s="14">
        <v>110000</v>
      </c>
      <c r="D18" s="14">
        <v>150000</v>
      </c>
      <c r="E18" s="14">
        <v>170000</v>
      </c>
      <c r="F18" s="13">
        <v>0</v>
      </c>
      <c r="G18" s="14">
        <v>20000</v>
      </c>
      <c r="H18" s="15">
        <v>0</v>
      </c>
      <c r="I18" s="15">
        <v>-0.08</v>
      </c>
      <c r="J18" s="13" t="s">
        <v>37</v>
      </c>
      <c r="K18" s="13" t="s">
        <v>38</v>
      </c>
      <c r="L18" s="14">
        <v>20000</v>
      </c>
    </row>
    <row r="19" spans="1:12">
      <c r="A19" s="13">
        <v>6</v>
      </c>
      <c r="B19" s="13" t="s">
        <v>39</v>
      </c>
      <c r="C19" s="14">
        <v>180000</v>
      </c>
      <c r="D19" s="14">
        <v>250000</v>
      </c>
      <c r="E19" s="14">
        <v>160000</v>
      </c>
      <c r="F19" s="14">
        <v>90000</v>
      </c>
      <c r="G19" s="13">
        <v>0</v>
      </c>
      <c r="H19" s="15">
        <v>0.36</v>
      </c>
      <c r="I19" s="15">
        <v>0.4</v>
      </c>
      <c r="J19" s="13" t="s">
        <v>40</v>
      </c>
      <c r="K19" s="13" t="s">
        <v>41</v>
      </c>
      <c r="L19" s="15">
        <v>0.22</v>
      </c>
    </row>
    <row r="22" ht="17.5" spans="2:6">
      <c r="B22" s="16"/>
      <c r="C22" s="16"/>
      <c r="E22" s="16"/>
      <c r="F22" s="16"/>
    </row>
    <row r="23" spans="2:6">
      <c r="B23" s="7"/>
      <c r="C23" s="17"/>
      <c r="E23" s="7"/>
      <c r="F23" s="17"/>
    </row>
    <row r="24" spans="2:6">
      <c r="B24" s="7"/>
      <c r="C24" s="17"/>
      <c r="E24" s="7"/>
      <c r="F24" s="17"/>
    </row>
    <row r="25" spans="2:6">
      <c r="B25" s="7"/>
      <c r="C25" s="17"/>
      <c r="E25" s="7"/>
      <c r="F25" s="17"/>
    </row>
    <row r="26" spans="2:6">
      <c r="B26" s="7"/>
      <c r="C26" s="17"/>
      <c r="D26" s="18"/>
      <c r="E26" s="7"/>
      <c r="F26" s="17"/>
    </row>
    <row r="27" spans="2:6">
      <c r="B27" s="7"/>
      <c r="C27" s="17"/>
      <c r="E27" s="7"/>
      <c r="F27" s="17"/>
    </row>
    <row r="28" spans="2:6">
      <c r="B28" s="7"/>
      <c r="C28" s="17"/>
      <c r="E28" s="7"/>
      <c r="F28" s="17"/>
    </row>
    <row r="29" spans="5:6">
      <c r="E29" s="19"/>
      <c r="F29" s="19"/>
    </row>
  </sheetData>
  <mergeCells count="1">
    <mergeCell ref="B11:K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34" zoomScaleNormal="34" workbookViewId="0">
      <selection activeCell="A1" sqref="$A1:$XFD1048576"/>
    </sheetView>
  </sheetViews>
  <sheetFormatPr defaultColWidth="8.72727272727273" defaultRowHeight="14.5"/>
  <cols>
    <col min="1" max="16384" width="8.72727272727273" style="1"/>
  </cols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Sheet8</vt:lpstr>
      <vt:lpstr>Sheet1</vt:lpstr>
      <vt:lpstr>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Sattar</cp:lastModifiedBy>
  <dcterms:created xsi:type="dcterms:W3CDTF">2025-07-21T09:59:00Z</dcterms:created>
  <dcterms:modified xsi:type="dcterms:W3CDTF">2026-01-24T18:05:21Z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3E8EF69AF1A34E39AD6EFA6DB3A4CC71_13</vt:lpwstr>
  </property>
  <property fmtid="{D5CDD505-2E9C-101B-9397-08002B2CF9AE}" pid="3" name="KSOProductBuildVer">
    <vt:lpwstr>1033-12.2.0.23196</vt:lpwstr>
  </property>
</Properties>
</file>